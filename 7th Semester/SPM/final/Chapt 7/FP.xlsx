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pt\SPM\PPTs and Short notes\"/>
    </mc:Choice>
  </mc:AlternateContent>
  <bookViews>
    <workbookView xWindow="0" yWindow="0" windowWidth="23040" windowHeight="9384" activeTab="3"/>
  </bookViews>
  <sheets>
    <sheet name="Identify Functional Components" sheetId="1" r:id="rId1"/>
    <sheet name="GSC Implementation" sheetId="4" r:id="rId2"/>
    <sheet name="General System Characteristic" sheetId="2" r:id="rId3"/>
    <sheet name="Calculation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4" l="1"/>
  <c r="N20" i="4"/>
  <c r="M20" i="4"/>
  <c r="L20" i="4"/>
  <c r="K20" i="4"/>
  <c r="J20" i="4"/>
  <c r="I20" i="4"/>
  <c r="H20" i="4"/>
  <c r="G20" i="4"/>
  <c r="F20" i="4"/>
  <c r="E20" i="4"/>
  <c r="D20" i="4"/>
  <c r="E18" i="3" l="1"/>
  <c r="E8" i="3"/>
  <c r="E7" i="3"/>
  <c r="E6" i="3"/>
  <c r="E5" i="3"/>
  <c r="E9" i="3" s="1"/>
  <c r="E4" i="3"/>
  <c r="A7" i="1" l="1"/>
  <c r="A8" i="1"/>
  <c r="A9" i="1" s="1"/>
  <c r="A10" i="1" s="1"/>
  <c r="A11" i="1" s="1"/>
  <c r="A12" i="1" s="1"/>
  <c r="A6" i="1"/>
</calcChain>
</file>

<file path=xl/sharedStrings.xml><?xml version="1.0" encoding="utf-8"?>
<sst xmlns="http://schemas.openxmlformats.org/spreadsheetml/2006/main" count="111" uniqueCount="85">
  <si>
    <t xml:space="preserve"> View Account Balance</t>
  </si>
  <si>
    <t>Pay Bills</t>
  </si>
  <si>
    <t xml:space="preserve"> View Transaction History</t>
  </si>
  <si>
    <t>Change Account Settings</t>
  </si>
  <si>
    <t>External Input (EI)</t>
  </si>
  <si>
    <t>Account Details Report</t>
  </si>
  <si>
    <t>Transfer Confirmation Message</t>
  </si>
  <si>
    <t>External Output (EO)</t>
  </si>
  <si>
    <t>Type</t>
  </si>
  <si>
    <t>Complexity</t>
  </si>
  <si>
    <t>Low</t>
  </si>
  <si>
    <t>High</t>
  </si>
  <si>
    <t>Medium</t>
  </si>
  <si>
    <t>Transaction History Query</t>
  </si>
  <si>
    <t>External Query (EQ)</t>
  </si>
  <si>
    <t>Fund Transfer</t>
  </si>
  <si>
    <t>GSC #</t>
  </si>
  <si>
    <t>General System Characteristic</t>
  </si>
  <si>
    <t>Rating (0-5)</t>
  </si>
  <si>
    <t>Description</t>
  </si>
  <si>
    <t>Data Communications</t>
  </si>
  <si>
    <t>Degree to which the system relies on communication protocols.</t>
  </si>
  <si>
    <t>Distributed Data Processing</t>
  </si>
  <si>
    <t>Whether data processing is distributed across multiple locations.</t>
  </si>
  <si>
    <t>Performance</t>
  </si>
  <si>
    <t>Impact of performance requirements on the system’s design.</t>
  </si>
  <si>
    <t>Heavily Used Configuration</t>
  </si>
  <si>
    <t>Extent to which the system will have a high usage volume.</t>
  </si>
  <si>
    <t>Transaction Complexity</t>
  </si>
  <si>
    <t>Complexity of the transactions or business logic.</t>
  </si>
  <si>
    <t>Conversion and Installation</t>
  </si>
  <si>
    <t>Complexity of data conversion and system installation.</t>
  </si>
  <si>
    <t>Application Design</t>
  </si>
  <si>
    <t>Impact of the design on system complexity.</t>
  </si>
  <si>
    <t>System Interface</t>
  </si>
  <si>
    <t>Degree of complexity in interfacing with external systems.</t>
  </si>
  <si>
    <t>Internal Processing</t>
  </si>
  <si>
    <t>Complexity of internal system processing, such as logic.</t>
  </si>
  <si>
    <t>Code Volume</t>
  </si>
  <si>
    <t>Extent of coding effort required for the system.</t>
  </si>
  <si>
    <t>Complexity of User Interface</t>
  </si>
  <si>
    <t>Complexity of the user interface and user interactions.</t>
  </si>
  <si>
    <t>Reusability</t>
  </si>
  <si>
    <t>How much of the system is reusable for future projects.</t>
  </si>
  <si>
    <t>Installability</t>
  </si>
  <si>
    <t>Complexity of installing the system into the operating environment.</t>
  </si>
  <si>
    <t>Operational Ease</t>
  </si>
  <si>
    <t>Complexity involved in system operation and maintenance.</t>
  </si>
  <si>
    <t>Multi-User Capability</t>
  </si>
  <si>
    <t>Complexity of managing multiple users.</t>
  </si>
  <si>
    <t>Weighting 
Factor</t>
  </si>
  <si>
    <t>Number of external inputs (I)</t>
  </si>
  <si>
    <t>Number of external outputs (O)</t>
  </si>
  <si>
    <t>Number of external inquiries ('E)</t>
  </si>
  <si>
    <t>Number of files (F)</t>
  </si>
  <si>
    <t>Number of external interfaces (N)</t>
  </si>
  <si>
    <t>FP =  UPF  * VAP</t>
  </si>
  <si>
    <t>FP= 606 *[ 0.65 +0.01 * [∑GSC)</t>
  </si>
  <si>
    <t>GSC = 4*0 + 4*3 + 6*4</t>
  </si>
  <si>
    <t>GSC = 36</t>
  </si>
  <si>
    <t>FP= 606 *[ 0.65 +0.01 * [∑GSC]]</t>
  </si>
  <si>
    <t>FP= 606 *[ 0.65 +0.01 * 36]</t>
  </si>
  <si>
    <t>UPF  = Unadjusted function points</t>
  </si>
  <si>
    <t>VAF= Value adjustment factor</t>
  </si>
  <si>
    <r>
      <t xml:space="preserve">Imagine we are developing an </t>
    </r>
    <r>
      <rPr>
        <b/>
        <sz val="12"/>
        <color theme="1"/>
        <rFont val="Times New Roman"/>
        <family val="1"/>
      </rPr>
      <t>online banking system</t>
    </r>
    <r>
      <rPr>
        <sz val="12"/>
        <color theme="1"/>
        <rFont val="Times New Roman"/>
        <family val="1"/>
      </rPr>
      <t xml:space="preserve"> that allows customers to:</t>
    </r>
  </si>
  <si>
    <t>GSC Name</t>
  </si>
  <si>
    <t>Pay Bill</t>
  </si>
  <si>
    <t>Biometric</t>
  </si>
  <si>
    <t>SMS</t>
  </si>
  <si>
    <t>Email</t>
  </si>
  <si>
    <t>Fine</t>
  </si>
  <si>
    <t>Sum of GSCs</t>
  </si>
  <si>
    <t>GSCs</t>
  </si>
  <si>
    <t>Cash 
Withdrawal</t>
  </si>
  <si>
    <t>Amount 
Transfer</t>
  </si>
  <si>
    <t>Bank 
Statement</t>
  </si>
  <si>
    <t>Pay 
Fees</t>
  </si>
  <si>
    <t>Car 
Finance</t>
  </si>
  <si>
    <t>Home 
Loan</t>
  </si>
  <si>
    <r>
      <t>0</t>
    </r>
    <r>
      <rPr>
        <sz val="14"/>
        <color theme="1"/>
        <rFont val="Calibri"/>
        <family val="2"/>
        <charset val="1"/>
        <scheme val="minor"/>
      </rPr>
      <t>: No influence</t>
    </r>
  </si>
  <si>
    <r>
      <t>1</t>
    </r>
    <r>
      <rPr>
        <sz val="14"/>
        <color theme="1"/>
        <rFont val="Calibri"/>
        <family val="2"/>
        <charset val="1"/>
        <scheme val="minor"/>
      </rPr>
      <t>: Incidental influence</t>
    </r>
  </si>
  <si>
    <r>
      <t>2</t>
    </r>
    <r>
      <rPr>
        <sz val="14"/>
        <color theme="1"/>
        <rFont val="Calibri"/>
        <family val="2"/>
        <charset val="1"/>
        <scheme val="minor"/>
      </rPr>
      <t>: Moderate influence</t>
    </r>
  </si>
  <si>
    <r>
      <t>3</t>
    </r>
    <r>
      <rPr>
        <sz val="14"/>
        <color theme="1"/>
        <rFont val="Calibri"/>
        <family val="2"/>
        <charset val="1"/>
        <scheme val="minor"/>
      </rPr>
      <t>: Average influence</t>
    </r>
  </si>
  <si>
    <r>
      <t>4</t>
    </r>
    <r>
      <rPr>
        <sz val="14"/>
        <color theme="1"/>
        <rFont val="Calibri"/>
        <family val="2"/>
        <charset val="1"/>
        <scheme val="minor"/>
      </rPr>
      <t>: Significant influence</t>
    </r>
  </si>
  <si>
    <r>
      <t>5</t>
    </r>
    <r>
      <rPr>
        <sz val="14"/>
        <color theme="1"/>
        <rFont val="Calibri"/>
        <family val="2"/>
        <charset val="1"/>
        <scheme val="minor"/>
      </rPr>
      <t>: Strong influence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</si>
</sst>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/>
    </xf>
    <xf numFmtId="0" fontId="8" fillId="7" borderId="0" xfId="0" applyFont="1" applyFill="1"/>
    <xf numFmtId="0" fontId="5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workbookViewId="0">
      <selection activeCell="E17" sqref="E17"/>
    </sheetView>
  </sheetViews>
  <sheetFormatPr defaultRowHeight="14.4" x14ac:dyDescent="0.3"/>
  <cols>
    <col min="2" max="2" width="32.77734375" bestFit="1" customWidth="1"/>
    <col min="3" max="3" width="23" customWidth="1"/>
    <col min="4" max="4" width="13.109375" bestFit="1" customWidth="1"/>
  </cols>
  <sheetData>
    <row r="2" spans="1:4" ht="15.6" x14ac:dyDescent="0.3">
      <c r="B2" s="14" t="s">
        <v>64</v>
      </c>
    </row>
    <row r="4" spans="1:4" ht="15.6" x14ac:dyDescent="0.3">
      <c r="A4" s="2"/>
      <c r="B4" s="2"/>
      <c r="C4" s="3" t="s">
        <v>8</v>
      </c>
      <c r="D4" s="3" t="s">
        <v>9</v>
      </c>
    </row>
    <row r="5" spans="1:4" ht="15.6" x14ac:dyDescent="0.3">
      <c r="A5" s="4">
        <v>1</v>
      </c>
      <c r="B5" s="6" t="s">
        <v>0</v>
      </c>
      <c r="C5" s="5" t="s">
        <v>4</v>
      </c>
      <c r="D5" s="2" t="s">
        <v>10</v>
      </c>
    </row>
    <row r="6" spans="1:4" ht="15.6" x14ac:dyDescent="0.3">
      <c r="A6" s="4">
        <f>A5+1</f>
        <v>2</v>
      </c>
      <c r="B6" s="6" t="s">
        <v>15</v>
      </c>
      <c r="C6" s="5" t="s">
        <v>4</v>
      </c>
      <c r="D6" s="2" t="s">
        <v>11</v>
      </c>
    </row>
    <row r="7" spans="1:4" ht="15.6" x14ac:dyDescent="0.3">
      <c r="A7" s="4">
        <f t="shared" ref="A7:A12" si="0">A6+1</f>
        <v>3</v>
      </c>
      <c r="B7" s="6" t="s">
        <v>1</v>
      </c>
      <c r="C7" s="5" t="s">
        <v>4</v>
      </c>
      <c r="D7" s="2" t="s">
        <v>11</v>
      </c>
    </row>
    <row r="8" spans="1:4" ht="15.6" x14ac:dyDescent="0.3">
      <c r="A8" s="4">
        <f t="shared" si="0"/>
        <v>4</v>
      </c>
      <c r="B8" s="6" t="s">
        <v>2</v>
      </c>
      <c r="C8" s="5" t="s">
        <v>4</v>
      </c>
      <c r="D8" s="2" t="s">
        <v>10</v>
      </c>
    </row>
    <row r="9" spans="1:4" ht="15.6" x14ac:dyDescent="0.3">
      <c r="A9" s="4">
        <f t="shared" si="0"/>
        <v>5</v>
      </c>
      <c r="B9" s="6" t="s">
        <v>3</v>
      </c>
      <c r="C9" s="5" t="s">
        <v>4</v>
      </c>
      <c r="D9" s="2" t="s">
        <v>12</v>
      </c>
    </row>
    <row r="10" spans="1:4" ht="15.6" x14ac:dyDescent="0.3">
      <c r="A10" s="4">
        <f t="shared" si="0"/>
        <v>6</v>
      </c>
      <c r="B10" s="6" t="s">
        <v>5</v>
      </c>
      <c r="C10" s="5" t="s">
        <v>7</v>
      </c>
      <c r="D10" s="2" t="s">
        <v>12</v>
      </c>
    </row>
    <row r="11" spans="1:4" ht="15.6" x14ac:dyDescent="0.3">
      <c r="A11" s="4">
        <f t="shared" si="0"/>
        <v>7</v>
      </c>
      <c r="B11" s="6" t="s">
        <v>6</v>
      </c>
      <c r="C11" s="5" t="s">
        <v>7</v>
      </c>
      <c r="D11" s="2" t="s">
        <v>10</v>
      </c>
    </row>
    <row r="12" spans="1:4" ht="15.6" x14ac:dyDescent="0.3">
      <c r="A12" s="4">
        <f t="shared" si="0"/>
        <v>8</v>
      </c>
      <c r="B12" s="6" t="s">
        <v>13</v>
      </c>
      <c r="C12" s="5" t="s">
        <v>14</v>
      </c>
      <c r="D12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3"/>
  <sheetViews>
    <sheetView workbookViewId="0">
      <selection activeCell="I22" sqref="I22"/>
    </sheetView>
  </sheetViews>
  <sheetFormatPr defaultRowHeight="14.4" x14ac:dyDescent="0.3"/>
  <cols>
    <col min="3" max="3" width="30.88671875" bestFit="1" customWidth="1"/>
    <col min="4" max="4" width="16.77734375" customWidth="1"/>
    <col min="5" max="5" width="11.88671875" customWidth="1"/>
    <col min="6" max="6" width="13.6640625" customWidth="1"/>
    <col min="7" max="7" width="8.77734375" bestFit="1" customWidth="1"/>
    <col min="8" max="8" width="8.6640625" customWidth="1"/>
    <col min="9" max="9" width="11.44140625" bestFit="1" customWidth="1"/>
    <col min="10" max="10" width="7.6640625" customWidth="1"/>
    <col min="12" max="12" width="11.33203125" customWidth="1"/>
    <col min="13" max="13" width="10.77734375" customWidth="1"/>
    <col min="14" max="14" width="7.33203125" customWidth="1"/>
    <col min="16" max="16" width="24.6640625" bestFit="1" customWidth="1"/>
  </cols>
  <sheetData>
    <row r="3" spans="2:16" ht="36" x14ac:dyDescent="0.3">
      <c r="B3" s="20" t="s">
        <v>16</v>
      </c>
      <c r="C3" s="20" t="s">
        <v>65</v>
      </c>
      <c r="D3" s="21" t="s">
        <v>73</v>
      </c>
      <c r="E3" s="21" t="s">
        <v>74</v>
      </c>
      <c r="F3" s="21" t="s">
        <v>75</v>
      </c>
      <c r="G3" s="20" t="s">
        <v>66</v>
      </c>
      <c r="H3" s="21" t="s">
        <v>76</v>
      </c>
      <c r="I3" s="20" t="s">
        <v>67</v>
      </c>
      <c r="J3" s="20" t="s">
        <v>68</v>
      </c>
      <c r="K3" s="20" t="s">
        <v>69</v>
      </c>
      <c r="L3" s="21" t="s">
        <v>77</v>
      </c>
      <c r="M3" s="21" t="s">
        <v>78</v>
      </c>
      <c r="N3" s="20" t="s">
        <v>70</v>
      </c>
    </row>
    <row r="4" spans="2:16" ht="18" x14ac:dyDescent="0.35">
      <c r="B4" s="15">
        <v>1</v>
      </c>
      <c r="C4" s="16" t="s">
        <v>20</v>
      </c>
      <c r="D4" s="15">
        <v>4</v>
      </c>
      <c r="E4" s="15">
        <v>5</v>
      </c>
      <c r="F4" s="15">
        <v>3</v>
      </c>
      <c r="G4" s="15">
        <v>4</v>
      </c>
      <c r="H4" s="15">
        <v>3</v>
      </c>
      <c r="I4" s="15">
        <v>2</v>
      </c>
      <c r="J4" s="15">
        <v>3</v>
      </c>
      <c r="K4" s="15">
        <v>2</v>
      </c>
      <c r="L4" s="15">
        <v>4</v>
      </c>
      <c r="M4" s="15">
        <v>4</v>
      </c>
      <c r="N4" s="15">
        <v>3</v>
      </c>
      <c r="P4" s="23" t="s">
        <v>79</v>
      </c>
    </row>
    <row r="5" spans="2:16" ht="18" x14ac:dyDescent="0.35">
      <c r="B5" s="15">
        <v>2</v>
      </c>
      <c r="C5" s="16" t="s">
        <v>22</v>
      </c>
      <c r="D5" s="15">
        <v>4</v>
      </c>
      <c r="E5" s="15">
        <v>4</v>
      </c>
      <c r="F5" s="15">
        <v>3</v>
      </c>
      <c r="G5" s="15">
        <v>4</v>
      </c>
      <c r="H5" s="15">
        <v>3</v>
      </c>
      <c r="I5" s="15">
        <v>2</v>
      </c>
      <c r="J5" s="15">
        <v>2</v>
      </c>
      <c r="K5" s="15">
        <v>2</v>
      </c>
      <c r="L5" s="15">
        <v>4</v>
      </c>
      <c r="M5" s="15">
        <v>4</v>
      </c>
      <c r="N5" s="15">
        <v>3</v>
      </c>
      <c r="P5" s="23" t="s">
        <v>80</v>
      </c>
    </row>
    <row r="6" spans="2:16" ht="18" x14ac:dyDescent="0.35">
      <c r="B6" s="15">
        <v>3</v>
      </c>
      <c r="C6" s="16" t="s">
        <v>24</v>
      </c>
      <c r="D6" s="15">
        <v>5</v>
      </c>
      <c r="E6" s="15">
        <v>5</v>
      </c>
      <c r="F6" s="15">
        <v>4</v>
      </c>
      <c r="G6" s="15">
        <v>4</v>
      </c>
      <c r="H6" s="15">
        <v>3</v>
      </c>
      <c r="I6" s="15">
        <v>2</v>
      </c>
      <c r="J6" s="15">
        <v>3</v>
      </c>
      <c r="K6" s="15">
        <v>2</v>
      </c>
      <c r="L6" s="15">
        <v>4</v>
      </c>
      <c r="M6" s="15">
        <v>4</v>
      </c>
      <c r="N6" s="15">
        <v>3</v>
      </c>
      <c r="P6" s="23" t="s">
        <v>81</v>
      </c>
    </row>
    <row r="7" spans="2:16" ht="18" x14ac:dyDescent="0.35">
      <c r="B7" s="15">
        <v>4</v>
      </c>
      <c r="C7" s="16" t="s">
        <v>26</v>
      </c>
      <c r="D7" s="15">
        <v>5</v>
      </c>
      <c r="E7" s="15">
        <v>5</v>
      </c>
      <c r="F7" s="15">
        <v>4</v>
      </c>
      <c r="G7" s="15">
        <v>4</v>
      </c>
      <c r="H7" s="15">
        <v>3</v>
      </c>
      <c r="I7" s="15">
        <v>3</v>
      </c>
      <c r="J7" s="15">
        <v>3</v>
      </c>
      <c r="K7" s="15">
        <v>2</v>
      </c>
      <c r="L7" s="15">
        <v>4</v>
      </c>
      <c r="M7" s="15">
        <v>4</v>
      </c>
      <c r="N7" s="15">
        <v>3</v>
      </c>
      <c r="P7" s="23" t="s">
        <v>82</v>
      </c>
    </row>
    <row r="8" spans="2:16" ht="18" x14ac:dyDescent="0.35">
      <c r="B8" s="15">
        <v>5</v>
      </c>
      <c r="C8" s="16" t="s">
        <v>28</v>
      </c>
      <c r="D8" s="15">
        <v>4</v>
      </c>
      <c r="E8" s="15">
        <v>5</v>
      </c>
      <c r="F8" s="15">
        <v>4</v>
      </c>
      <c r="G8" s="15">
        <v>5</v>
      </c>
      <c r="H8" s="15">
        <v>4</v>
      </c>
      <c r="I8" s="15">
        <v>2</v>
      </c>
      <c r="J8" s="15">
        <v>2</v>
      </c>
      <c r="K8" s="15">
        <v>2</v>
      </c>
      <c r="L8" s="15">
        <v>5</v>
      </c>
      <c r="M8" s="15">
        <v>5</v>
      </c>
      <c r="N8" s="15">
        <v>3</v>
      </c>
      <c r="P8" s="23" t="s">
        <v>83</v>
      </c>
    </row>
    <row r="9" spans="2:16" ht="18" x14ac:dyDescent="0.35">
      <c r="B9" s="15">
        <v>6</v>
      </c>
      <c r="C9" s="16" t="s">
        <v>30</v>
      </c>
      <c r="D9" s="15">
        <v>2</v>
      </c>
      <c r="E9" s="15">
        <v>3</v>
      </c>
      <c r="F9" s="15">
        <v>2</v>
      </c>
      <c r="G9" s="15">
        <v>3</v>
      </c>
      <c r="H9" s="15">
        <v>3</v>
      </c>
      <c r="I9" s="15">
        <v>3</v>
      </c>
      <c r="J9" s="15">
        <v>2</v>
      </c>
      <c r="K9" s="15">
        <v>2</v>
      </c>
      <c r="L9" s="15">
        <v>4</v>
      </c>
      <c r="M9" s="15">
        <v>4</v>
      </c>
      <c r="N9" s="15">
        <v>3</v>
      </c>
      <c r="P9" s="23" t="s">
        <v>84</v>
      </c>
    </row>
    <row r="10" spans="2:16" ht="18" x14ac:dyDescent="0.35">
      <c r="B10" s="15">
        <v>7</v>
      </c>
      <c r="C10" s="16" t="s">
        <v>32</v>
      </c>
      <c r="D10" s="15">
        <v>4</v>
      </c>
      <c r="E10" s="15">
        <v>4</v>
      </c>
      <c r="F10" s="15">
        <v>3</v>
      </c>
      <c r="G10" s="15">
        <v>4</v>
      </c>
      <c r="H10" s="15">
        <v>3</v>
      </c>
      <c r="I10" s="15">
        <v>3</v>
      </c>
      <c r="J10" s="15">
        <v>3</v>
      </c>
      <c r="K10" s="15">
        <v>3</v>
      </c>
      <c r="L10" s="15">
        <v>4</v>
      </c>
      <c r="M10" s="15">
        <v>4</v>
      </c>
      <c r="N10" s="15">
        <v>3</v>
      </c>
    </row>
    <row r="11" spans="2:16" ht="18" x14ac:dyDescent="0.35">
      <c r="B11" s="15">
        <v>8</v>
      </c>
      <c r="C11" s="16" t="s">
        <v>34</v>
      </c>
      <c r="D11" s="15">
        <v>4</v>
      </c>
      <c r="E11" s="15">
        <v>5</v>
      </c>
      <c r="F11" s="15">
        <v>4</v>
      </c>
      <c r="G11" s="15">
        <v>4</v>
      </c>
      <c r="H11" s="15">
        <v>4</v>
      </c>
      <c r="I11" s="15">
        <v>3</v>
      </c>
      <c r="J11" s="15">
        <v>3</v>
      </c>
      <c r="K11" s="15">
        <v>3</v>
      </c>
      <c r="L11" s="15">
        <v>5</v>
      </c>
      <c r="M11" s="15">
        <v>5</v>
      </c>
      <c r="N11" s="15">
        <v>4</v>
      </c>
    </row>
    <row r="12" spans="2:16" ht="18" x14ac:dyDescent="0.35">
      <c r="B12" s="15">
        <v>9</v>
      </c>
      <c r="C12" s="16" t="s">
        <v>36</v>
      </c>
      <c r="D12" s="15">
        <v>4</v>
      </c>
      <c r="E12" s="15">
        <v>5</v>
      </c>
      <c r="F12" s="15">
        <v>4</v>
      </c>
      <c r="G12" s="15">
        <v>5</v>
      </c>
      <c r="H12" s="15">
        <v>4</v>
      </c>
      <c r="I12" s="15">
        <v>3</v>
      </c>
      <c r="J12" s="15">
        <v>3</v>
      </c>
      <c r="K12" s="15">
        <v>3</v>
      </c>
      <c r="L12" s="15">
        <v>5</v>
      </c>
      <c r="M12" s="15">
        <v>5</v>
      </c>
      <c r="N12" s="15">
        <v>4</v>
      </c>
    </row>
    <row r="13" spans="2:16" ht="18" x14ac:dyDescent="0.35">
      <c r="B13" s="15">
        <v>10</v>
      </c>
      <c r="C13" s="16" t="s">
        <v>38</v>
      </c>
      <c r="D13" s="15">
        <v>4</v>
      </c>
      <c r="E13" s="15">
        <v>5</v>
      </c>
      <c r="F13" s="15">
        <v>3</v>
      </c>
      <c r="G13" s="15">
        <v>5</v>
      </c>
      <c r="H13" s="15">
        <v>4</v>
      </c>
      <c r="I13" s="15">
        <v>3</v>
      </c>
      <c r="J13" s="15">
        <v>2</v>
      </c>
      <c r="K13" s="15">
        <v>2</v>
      </c>
      <c r="L13" s="15">
        <v>5</v>
      </c>
      <c r="M13" s="15">
        <v>5</v>
      </c>
      <c r="N13" s="15">
        <v>3</v>
      </c>
    </row>
    <row r="14" spans="2:16" ht="18" x14ac:dyDescent="0.35">
      <c r="B14" s="15">
        <v>11</v>
      </c>
      <c r="C14" s="16" t="s">
        <v>40</v>
      </c>
      <c r="D14" s="15">
        <v>3</v>
      </c>
      <c r="E14" s="15">
        <v>4</v>
      </c>
      <c r="F14" s="15">
        <v>4</v>
      </c>
      <c r="G14" s="15">
        <v>4</v>
      </c>
      <c r="H14" s="15">
        <v>4</v>
      </c>
      <c r="I14" s="15">
        <v>4</v>
      </c>
      <c r="J14" s="15">
        <v>3</v>
      </c>
      <c r="K14" s="15">
        <v>3</v>
      </c>
      <c r="L14" s="15">
        <v>5</v>
      </c>
      <c r="M14" s="15">
        <v>5</v>
      </c>
      <c r="N14" s="15">
        <v>3</v>
      </c>
    </row>
    <row r="15" spans="2:16" ht="18" x14ac:dyDescent="0.35">
      <c r="B15" s="15">
        <v>12</v>
      </c>
      <c r="C15" s="16" t="s">
        <v>42</v>
      </c>
      <c r="D15" s="15">
        <v>4</v>
      </c>
      <c r="E15" s="15">
        <v>4</v>
      </c>
      <c r="F15" s="15">
        <v>3</v>
      </c>
      <c r="G15" s="15">
        <v>4</v>
      </c>
      <c r="H15" s="15">
        <v>4</v>
      </c>
      <c r="I15" s="15">
        <v>3</v>
      </c>
      <c r="J15" s="15">
        <v>3</v>
      </c>
      <c r="K15" s="15">
        <v>3</v>
      </c>
      <c r="L15" s="15">
        <v>4</v>
      </c>
      <c r="M15" s="15">
        <v>4</v>
      </c>
      <c r="N15" s="15">
        <v>3</v>
      </c>
    </row>
    <row r="16" spans="2:16" ht="18" x14ac:dyDescent="0.35">
      <c r="B16" s="15">
        <v>13</v>
      </c>
      <c r="C16" s="16" t="s">
        <v>44</v>
      </c>
      <c r="D16" s="15">
        <v>3</v>
      </c>
      <c r="E16" s="15">
        <v>4</v>
      </c>
      <c r="F16" s="15">
        <v>3</v>
      </c>
      <c r="G16" s="15">
        <v>4</v>
      </c>
      <c r="H16" s="15">
        <v>4</v>
      </c>
      <c r="I16" s="15">
        <v>3</v>
      </c>
      <c r="J16" s="15">
        <v>2</v>
      </c>
      <c r="K16" s="15">
        <v>2</v>
      </c>
      <c r="L16" s="15">
        <v>4</v>
      </c>
      <c r="M16" s="15">
        <v>4</v>
      </c>
      <c r="N16" s="15">
        <v>3</v>
      </c>
    </row>
    <row r="17" spans="2:14" ht="18" x14ac:dyDescent="0.35">
      <c r="B17" s="15">
        <v>14</v>
      </c>
      <c r="C17" s="16" t="s">
        <v>46</v>
      </c>
      <c r="D17" s="15">
        <v>4</v>
      </c>
      <c r="E17" s="15">
        <v>5</v>
      </c>
      <c r="F17" s="15">
        <v>4</v>
      </c>
      <c r="G17" s="15">
        <v>5</v>
      </c>
      <c r="H17" s="15">
        <v>4</v>
      </c>
      <c r="I17" s="15">
        <v>3</v>
      </c>
      <c r="J17" s="15">
        <v>3</v>
      </c>
      <c r="K17" s="15">
        <v>3</v>
      </c>
      <c r="L17" s="15">
        <v>5</v>
      </c>
      <c r="M17" s="15">
        <v>5</v>
      </c>
      <c r="N17" s="15">
        <v>4</v>
      </c>
    </row>
    <row r="18" spans="2:14" ht="18" x14ac:dyDescent="0.35">
      <c r="B18" s="15">
        <v>15</v>
      </c>
      <c r="C18" s="16" t="s">
        <v>48</v>
      </c>
      <c r="D18" s="15">
        <v>5</v>
      </c>
      <c r="E18" s="15">
        <v>5</v>
      </c>
      <c r="F18" s="15">
        <v>4</v>
      </c>
      <c r="G18" s="15">
        <v>5</v>
      </c>
      <c r="H18" s="15">
        <v>4</v>
      </c>
      <c r="I18" s="15">
        <v>3</v>
      </c>
      <c r="J18" s="15">
        <v>3</v>
      </c>
      <c r="K18" s="15">
        <v>3</v>
      </c>
      <c r="L18" s="15">
        <v>5</v>
      </c>
      <c r="M18" s="15">
        <v>5</v>
      </c>
      <c r="N18" s="15">
        <v>4</v>
      </c>
    </row>
    <row r="19" spans="2:14" ht="18" x14ac:dyDescent="0.35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2:14" ht="18" x14ac:dyDescent="0.35">
      <c r="B20" s="17"/>
      <c r="C20" s="24" t="s">
        <v>72</v>
      </c>
      <c r="D20" s="18">
        <f t="shared" ref="D20:N20" si="0">SUM(D4:D18)</f>
        <v>59</v>
      </c>
      <c r="E20" s="18">
        <f t="shared" si="0"/>
        <v>68</v>
      </c>
      <c r="F20" s="18">
        <f t="shared" si="0"/>
        <v>52</v>
      </c>
      <c r="G20" s="18">
        <f t="shared" si="0"/>
        <v>64</v>
      </c>
      <c r="H20" s="18">
        <f t="shared" si="0"/>
        <v>54</v>
      </c>
      <c r="I20" s="18">
        <f t="shared" si="0"/>
        <v>42</v>
      </c>
      <c r="J20" s="18">
        <f t="shared" si="0"/>
        <v>40</v>
      </c>
      <c r="K20" s="18">
        <f t="shared" si="0"/>
        <v>37</v>
      </c>
      <c r="L20" s="18">
        <f t="shared" si="0"/>
        <v>67</v>
      </c>
      <c r="M20" s="18">
        <f t="shared" si="0"/>
        <v>67</v>
      </c>
      <c r="N20" s="18">
        <f t="shared" si="0"/>
        <v>49</v>
      </c>
    </row>
    <row r="21" spans="2:14" ht="18" x14ac:dyDescent="0.35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2:14" ht="18" x14ac:dyDescent="0.35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2:14" ht="18" x14ac:dyDescent="0.35">
      <c r="B23" s="17"/>
      <c r="C23" s="19" t="s">
        <v>71</v>
      </c>
      <c r="D23" s="22">
        <f>SUM(D20:N20)</f>
        <v>599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8"/>
  <sheetViews>
    <sheetView workbookViewId="0">
      <selection activeCell="C3" sqref="C3"/>
    </sheetView>
  </sheetViews>
  <sheetFormatPr defaultRowHeight="14.4" x14ac:dyDescent="0.3"/>
  <cols>
    <col min="3" max="3" width="26.21875" bestFit="1" customWidth="1"/>
    <col min="4" max="4" width="10.77734375" bestFit="1" customWidth="1"/>
    <col min="5" max="5" width="56.6640625" bestFit="1" customWidth="1"/>
  </cols>
  <sheetData>
    <row r="3" spans="2:5" x14ac:dyDescent="0.3">
      <c r="B3" s="7" t="s">
        <v>16</v>
      </c>
      <c r="C3" s="7" t="s">
        <v>17</v>
      </c>
      <c r="D3" s="7" t="s">
        <v>18</v>
      </c>
      <c r="E3" s="7" t="s">
        <v>19</v>
      </c>
    </row>
    <row r="4" spans="2:5" x14ac:dyDescent="0.3">
      <c r="B4">
        <v>1</v>
      </c>
      <c r="C4" t="s">
        <v>20</v>
      </c>
      <c r="D4" s="1">
        <v>4</v>
      </c>
      <c r="E4" t="s">
        <v>21</v>
      </c>
    </row>
    <row r="5" spans="2:5" x14ac:dyDescent="0.3">
      <c r="B5">
        <v>2</v>
      </c>
      <c r="C5" t="s">
        <v>22</v>
      </c>
      <c r="D5" s="1">
        <v>3</v>
      </c>
      <c r="E5" t="s">
        <v>23</v>
      </c>
    </row>
    <row r="6" spans="2:5" x14ac:dyDescent="0.3">
      <c r="B6">
        <v>3</v>
      </c>
      <c r="C6" t="s">
        <v>24</v>
      </c>
      <c r="D6" s="1">
        <v>5</v>
      </c>
      <c r="E6" t="s">
        <v>25</v>
      </c>
    </row>
    <row r="7" spans="2:5" x14ac:dyDescent="0.3">
      <c r="B7">
        <v>4</v>
      </c>
      <c r="C7" t="s">
        <v>26</v>
      </c>
      <c r="D7" s="1">
        <v>3</v>
      </c>
      <c r="E7" t="s">
        <v>27</v>
      </c>
    </row>
    <row r="8" spans="2:5" x14ac:dyDescent="0.3">
      <c r="B8">
        <v>5</v>
      </c>
      <c r="C8" t="s">
        <v>28</v>
      </c>
      <c r="D8" s="1">
        <v>4</v>
      </c>
      <c r="E8" t="s">
        <v>29</v>
      </c>
    </row>
    <row r="9" spans="2:5" x14ac:dyDescent="0.3">
      <c r="B9">
        <v>6</v>
      </c>
      <c r="C9" t="s">
        <v>30</v>
      </c>
      <c r="D9" s="1">
        <v>2</v>
      </c>
      <c r="E9" t="s">
        <v>31</v>
      </c>
    </row>
    <row r="10" spans="2:5" x14ac:dyDescent="0.3">
      <c r="B10">
        <v>7</v>
      </c>
      <c r="C10" t="s">
        <v>32</v>
      </c>
      <c r="D10" s="1">
        <v>3</v>
      </c>
      <c r="E10" t="s">
        <v>33</v>
      </c>
    </row>
    <row r="11" spans="2:5" x14ac:dyDescent="0.3">
      <c r="B11">
        <v>8</v>
      </c>
      <c r="C11" t="s">
        <v>34</v>
      </c>
      <c r="D11" s="1">
        <v>5</v>
      </c>
      <c r="E11" t="s">
        <v>35</v>
      </c>
    </row>
    <row r="12" spans="2:5" x14ac:dyDescent="0.3">
      <c r="B12">
        <v>9</v>
      </c>
      <c r="C12" t="s">
        <v>36</v>
      </c>
      <c r="D12" s="1">
        <v>4</v>
      </c>
      <c r="E12" t="s">
        <v>37</v>
      </c>
    </row>
    <row r="13" spans="2:5" x14ac:dyDescent="0.3">
      <c r="B13">
        <v>10</v>
      </c>
      <c r="C13" t="s">
        <v>38</v>
      </c>
      <c r="D13" s="1">
        <v>4</v>
      </c>
      <c r="E13" t="s">
        <v>39</v>
      </c>
    </row>
    <row r="14" spans="2:5" x14ac:dyDescent="0.3">
      <c r="B14">
        <v>11</v>
      </c>
      <c r="C14" t="s">
        <v>40</v>
      </c>
      <c r="D14" s="1">
        <v>2</v>
      </c>
      <c r="E14" t="s">
        <v>41</v>
      </c>
    </row>
    <row r="15" spans="2:5" x14ac:dyDescent="0.3">
      <c r="B15">
        <v>12</v>
      </c>
      <c r="C15" t="s">
        <v>42</v>
      </c>
      <c r="D15" s="1">
        <v>1</v>
      </c>
      <c r="E15" t="s">
        <v>43</v>
      </c>
    </row>
    <row r="16" spans="2:5" x14ac:dyDescent="0.3">
      <c r="B16">
        <v>13</v>
      </c>
      <c r="C16" t="s">
        <v>44</v>
      </c>
      <c r="D16" s="1">
        <v>2</v>
      </c>
      <c r="E16" t="s">
        <v>45</v>
      </c>
    </row>
    <row r="17" spans="2:5" x14ac:dyDescent="0.3">
      <c r="B17">
        <v>14</v>
      </c>
      <c r="C17" t="s">
        <v>46</v>
      </c>
      <c r="D17" s="1">
        <v>3</v>
      </c>
      <c r="E17" t="s">
        <v>47</v>
      </c>
    </row>
    <row r="18" spans="2:5" x14ac:dyDescent="0.3">
      <c r="B18">
        <v>15</v>
      </c>
      <c r="C18" t="s">
        <v>48</v>
      </c>
      <c r="D18" s="1">
        <v>4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2"/>
  <sheetViews>
    <sheetView tabSelected="1" workbookViewId="0">
      <selection activeCell="E26" sqref="E26"/>
    </sheetView>
  </sheetViews>
  <sheetFormatPr defaultRowHeight="14.4" x14ac:dyDescent="0.3"/>
  <cols>
    <col min="3" max="3" width="3" bestFit="1" customWidth="1"/>
    <col min="4" max="4" width="11.33203125" customWidth="1"/>
  </cols>
  <sheetData>
    <row r="3" spans="2:5" ht="43.2" x14ac:dyDescent="0.3">
      <c r="D3" s="8" t="s">
        <v>50</v>
      </c>
    </row>
    <row r="4" spans="2:5" x14ac:dyDescent="0.3">
      <c r="B4" s="9" t="s">
        <v>51</v>
      </c>
      <c r="C4" s="10">
        <v>30</v>
      </c>
      <c r="D4" s="10">
        <v>4</v>
      </c>
      <c r="E4" s="10">
        <f>C4*D4</f>
        <v>120</v>
      </c>
    </row>
    <row r="5" spans="2:5" x14ac:dyDescent="0.3">
      <c r="B5" s="9" t="s">
        <v>52</v>
      </c>
      <c r="C5" s="10">
        <v>60</v>
      </c>
      <c r="D5" s="10">
        <v>5</v>
      </c>
      <c r="E5" s="10">
        <f t="shared" ref="E5:E8" si="0">C5*D5</f>
        <v>300</v>
      </c>
    </row>
    <row r="6" spans="2:5" x14ac:dyDescent="0.3">
      <c r="B6" s="9" t="s">
        <v>53</v>
      </c>
      <c r="C6" s="10">
        <v>23</v>
      </c>
      <c r="D6" s="10">
        <v>4</v>
      </c>
      <c r="E6" s="10">
        <f t="shared" si="0"/>
        <v>92</v>
      </c>
    </row>
    <row r="7" spans="2:5" x14ac:dyDescent="0.3">
      <c r="B7" s="9" t="s">
        <v>54</v>
      </c>
      <c r="C7" s="10">
        <v>8</v>
      </c>
      <c r="D7" s="10">
        <v>10</v>
      </c>
      <c r="E7" s="10">
        <f t="shared" si="0"/>
        <v>80</v>
      </c>
    </row>
    <row r="8" spans="2:5" x14ac:dyDescent="0.3">
      <c r="B8" s="9" t="s">
        <v>55</v>
      </c>
      <c r="C8" s="10">
        <v>2</v>
      </c>
      <c r="D8" s="10">
        <v>7</v>
      </c>
      <c r="E8" s="10">
        <f t="shared" si="0"/>
        <v>14</v>
      </c>
    </row>
    <row r="9" spans="2:5" x14ac:dyDescent="0.3">
      <c r="E9" s="11">
        <f>SUM(E4:E8)</f>
        <v>606</v>
      </c>
    </row>
    <row r="13" spans="2:5" x14ac:dyDescent="0.3">
      <c r="B13" s="9" t="s">
        <v>56</v>
      </c>
      <c r="C13" s="25"/>
      <c r="D13" s="25"/>
      <c r="E13" s="25"/>
    </row>
    <row r="14" spans="2:5" x14ac:dyDescent="0.3">
      <c r="B14" s="26" t="s">
        <v>57</v>
      </c>
      <c r="C14" s="26"/>
      <c r="D14" s="26"/>
      <c r="E14" s="26"/>
    </row>
    <row r="15" spans="2:5" x14ac:dyDescent="0.3">
      <c r="B15" s="9" t="s">
        <v>58</v>
      </c>
      <c r="C15" s="25"/>
      <c r="D15" s="25"/>
      <c r="E15" s="25"/>
    </row>
    <row r="16" spans="2:5" x14ac:dyDescent="0.3">
      <c r="B16" s="9" t="s">
        <v>59</v>
      </c>
      <c r="C16" s="9"/>
      <c r="D16" s="9"/>
      <c r="E16" s="9"/>
    </row>
    <row r="17" spans="2:5" x14ac:dyDescent="0.3">
      <c r="B17" s="26" t="s">
        <v>60</v>
      </c>
      <c r="C17" s="26"/>
      <c r="D17" s="9"/>
      <c r="E17" s="9"/>
    </row>
    <row r="18" spans="2:5" x14ac:dyDescent="0.3">
      <c r="B18" s="9" t="s">
        <v>61</v>
      </c>
      <c r="C18" s="9"/>
      <c r="E18" s="12">
        <f>606 * (0.65 + 0.01 *36)</f>
        <v>612.06000000000006</v>
      </c>
    </row>
    <row r="21" spans="2:5" x14ac:dyDescent="0.3">
      <c r="B21" s="13" t="s">
        <v>62</v>
      </c>
    </row>
    <row r="22" spans="2:5" x14ac:dyDescent="0.3">
      <c r="B22" s="13" t="s">
        <v>63</v>
      </c>
    </row>
  </sheetData>
  <mergeCells count="4">
    <mergeCell ref="C13:E13"/>
    <mergeCell ref="B14:E14"/>
    <mergeCell ref="C15:E15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Identify Functional Components</vt:lpstr>
      <vt:lpstr>GSC Implementation</vt:lpstr>
      <vt:lpstr>General System Characteristic</vt:lpstr>
      <vt:lpstr>Calculation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2024-11-24T14:52:24Z</dcterms:created>
  <dcterms:modified xsi:type="dcterms:W3CDTF">2025-01-26T12:27:37Z</dcterms:modified>
</cp:coreProperties>
</file>