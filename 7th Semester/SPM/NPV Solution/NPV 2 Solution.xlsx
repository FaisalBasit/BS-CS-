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pt\SPM\PPTs and Short notes\NPV Solution\"/>
    </mc:Choice>
  </mc:AlternateContent>
  <bookViews>
    <workbookView xWindow="0" yWindow="0" windowWidth="23040" windowHeight="9384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D18" i="1"/>
  <c r="D17" i="1"/>
  <c r="D16" i="1"/>
  <c r="G23" i="1" l="1"/>
  <c r="F23" i="1"/>
  <c r="E11" i="1"/>
  <c r="C11" i="1"/>
  <c r="C18" i="1"/>
  <c r="C17" i="1"/>
  <c r="C16" i="1"/>
  <c r="E16" i="1"/>
  <c r="E18" i="1"/>
  <c r="G18" i="1" s="1"/>
  <c r="E17" i="1"/>
  <c r="G17" i="1" s="1"/>
  <c r="F16" i="1" l="1"/>
  <c r="G16" i="1"/>
  <c r="G20" i="1" s="1"/>
  <c r="G22" i="1" s="1"/>
  <c r="G24" i="1" s="1"/>
  <c r="F18" i="1"/>
  <c r="F17" i="1"/>
  <c r="F20" i="1" l="1"/>
  <c r="F22" i="1" s="1"/>
  <c r="F24" i="1" s="1"/>
</calcChain>
</file>

<file path=xl/sharedStrings.xml><?xml version="1.0" encoding="utf-8"?>
<sst xmlns="http://schemas.openxmlformats.org/spreadsheetml/2006/main" count="25" uniqueCount="20">
  <si>
    <t>Discount rate</t>
  </si>
  <si>
    <t>Initial Investment</t>
  </si>
  <si>
    <t>Cash Inflow</t>
  </si>
  <si>
    <t>No.of Years</t>
  </si>
  <si>
    <r>
      <t>1/(1+r)</t>
    </r>
    <r>
      <rPr>
        <vertAlign val="superscript"/>
        <sz val="11"/>
        <color theme="1"/>
        <rFont val="Calibri"/>
        <family val="2"/>
        <scheme val="minor"/>
      </rPr>
      <t>n</t>
    </r>
  </si>
  <si>
    <t>Proposal A</t>
  </si>
  <si>
    <t>Proposal B</t>
  </si>
  <si>
    <t>A</t>
  </si>
  <si>
    <t>B</t>
  </si>
  <si>
    <t>Year</t>
  </si>
  <si>
    <t xml:space="preserve">Cash Flow </t>
  </si>
  <si>
    <t>Present Value</t>
  </si>
  <si>
    <t xml:space="preserve">PV Factor </t>
  </si>
  <si>
    <t>at 12 %</t>
  </si>
  <si>
    <t>Sum</t>
  </si>
  <si>
    <t xml:space="preserve">Total Present Value of Inflow </t>
  </si>
  <si>
    <t xml:space="preserve">Minus </t>
  </si>
  <si>
    <t xml:space="preserve">Present value of outflow </t>
  </si>
  <si>
    <t>NPV</t>
  </si>
  <si>
    <t xml:space="preserve">Based on results,Proposal B is most suitable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</si>
</sst>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NumberFormat="1"/>
    <xf numFmtId="0" fontId="2" fillId="2" borderId="3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2" fillId="2" borderId="3" xfId="0" applyFont="1" applyFill="1" applyBorder="1"/>
    <xf numFmtId="0" fontId="3" fillId="5" borderId="2" xfId="0" applyFont="1" applyFill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0" fillId="3" borderId="0" xfId="0" applyNumberFormat="1" applyFill="1"/>
    <xf numFmtId="0" fontId="2" fillId="4" borderId="0" xfId="0" applyFont="1" applyFill="1" applyAlignment="1">
      <alignment horizontal="center"/>
    </xf>
    <xf numFmtId="0" fontId="2" fillId="0" borderId="1" xfId="0" applyFont="1" applyBorder="1"/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3" borderId="0" xfId="0" applyFont="1" applyFill="1"/>
    <xf numFmtId="0" fontId="3" fillId="6" borderId="11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6"/>
  <sheetViews>
    <sheetView tabSelected="1" workbookViewId="0">
      <selection activeCell="J19" sqref="J19"/>
    </sheetView>
  </sheetViews>
  <sheetFormatPr defaultRowHeight="14.4" x14ac:dyDescent="0.3"/>
  <cols>
    <col min="2" max="2" width="23.44140625" bestFit="1" customWidth="1"/>
    <col min="3" max="3" width="15.88671875" customWidth="1"/>
    <col min="5" max="5" width="16.77734375" customWidth="1"/>
    <col min="6" max="6" width="12.109375" bestFit="1" customWidth="1"/>
    <col min="7" max="7" width="12.88671875" customWidth="1"/>
  </cols>
  <sheetData>
    <row r="1" spans="2:7" ht="15" thickBot="1" x14ac:dyDescent="0.35"/>
    <row r="2" spans="2:7" x14ac:dyDescent="0.3">
      <c r="C2" s="2" t="s">
        <v>5</v>
      </c>
      <c r="E2" s="6" t="s">
        <v>6</v>
      </c>
    </row>
    <row r="3" spans="2:7" ht="21" x14ac:dyDescent="0.4">
      <c r="B3" s="7" t="s">
        <v>1</v>
      </c>
      <c r="C3" s="16">
        <v>500000</v>
      </c>
      <c r="E3" s="3">
        <v>700000</v>
      </c>
    </row>
    <row r="4" spans="2:7" ht="21" x14ac:dyDescent="0.4">
      <c r="B4" s="7" t="s">
        <v>0</v>
      </c>
      <c r="C4" s="4">
        <v>0.12</v>
      </c>
      <c r="E4" s="3">
        <f>12/100</f>
        <v>0.12</v>
      </c>
    </row>
    <row r="5" spans="2:7" ht="21" x14ac:dyDescent="0.4">
      <c r="B5" s="7" t="s">
        <v>3</v>
      </c>
      <c r="C5" s="5">
        <v>3</v>
      </c>
    </row>
    <row r="6" spans="2:7" ht="21" x14ac:dyDescent="0.4">
      <c r="B6" s="7" t="s">
        <v>0</v>
      </c>
      <c r="C6" s="1" t="s">
        <v>4</v>
      </c>
    </row>
    <row r="7" spans="2:7" ht="15" thickBot="1" x14ac:dyDescent="0.35">
      <c r="C7" s="11" t="s">
        <v>5</v>
      </c>
      <c r="E7" t="s">
        <v>6</v>
      </c>
    </row>
    <row r="8" spans="2:7" ht="15" thickBot="1" x14ac:dyDescent="0.35">
      <c r="B8" s="19" t="s">
        <v>2</v>
      </c>
      <c r="C8" s="14">
        <v>230000</v>
      </c>
      <c r="E8" s="14">
        <v>295000</v>
      </c>
    </row>
    <row r="9" spans="2:7" ht="15" thickBot="1" x14ac:dyDescent="0.35">
      <c r="B9" s="20"/>
      <c r="C9" s="15">
        <v>150000</v>
      </c>
      <c r="E9" s="15">
        <v>400000</v>
      </c>
    </row>
    <row r="10" spans="2:7" ht="15" thickBot="1" x14ac:dyDescent="0.35">
      <c r="B10" s="21"/>
      <c r="C10" s="15">
        <v>200000</v>
      </c>
      <c r="E10" s="15">
        <v>197000</v>
      </c>
    </row>
    <row r="11" spans="2:7" ht="15" thickBot="1" x14ac:dyDescent="0.35">
      <c r="B11" s="13" t="s">
        <v>14</v>
      </c>
      <c r="C11" s="12">
        <f>SUM(C8:C10)</f>
        <v>580000</v>
      </c>
      <c r="E11" s="12">
        <f>SUM(E8:E10)</f>
        <v>892000</v>
      </c>
    </row>
    <row r="14" spans="2:7" x14ac:dyDescent="0.3">
      <c r="B14" s="18" t="s">
        <v>9</v>
      </c>
      <c r="C14" s="17" t="s">
        <v>10</v>
      </c>
      <c r="D14" s="17"/>
      <c r="E14" s="8" t="s">
        <v>12</v>
      </c>
      <c r="F14" s="17" t="s">
        <v>11</v>
      </c>
      <c r="G14" s="17"/>
    </row>
    <row r="15" spans="2:7" x14ac:dyDescent="0.3">
      <c r="B15" s="18"/>
      <c r="C15" s="9" t="s">
        <v>7</v>
      </c>
      <c r="D15" s="9" t="s">
        <v>8</v>
      </c>
      <c r="E15" s="9" t="s">
        <v>13</v>
      </c>
      <c r="F15" s="9" t="s">
        <v>7</v>
      </c>
      <c r="G15" s="9" t="s">
        <v>8</v>
      </c>
    </row>
    <row r="16" spans="2:7" x14ac:dyDescent="0.3">
      <c r="B16" s="3">
        <v>1</v>
      </c>
      <c r="C16" s="10">
        <f>C8</f>
        <v>230000</v>
      </c>
      <c r="D16" s="10">
        <f>E8</f>
        <v>295000</v>
      </c>
      <c r="E16" s="10">
        <f>1/POWER((1+E4),B16)</f>
        <v>0.89285714285714279</v>
      </c>
      <c r="F16" s="10">
        <f>C16*E16</f>
        <v>205357.14285714284</v>
      </c>
      <c r="G16" s="10">
        <f>D16*E16</f>
        <v>263392.8571428571</v>
      </c>
    </row>
    <row r="17" spans="2:7" x14ac:dyDescent="0.3">
      <c r="B17" s="3">
        <v>2</v>
      </c>
      <c r="C17" s="10">
        <f>C9</f>
        <v>150000</v>
      </c>
      <c r="D17" s="10">
        <f>E9</f>
        <v>400000</v>
      </c>
      <c r="E17" s="10">
        <f>1/POWER((1+E4),B17)</f>
        <v>0.79719387755102034</v>
      </c>
      <c r="F17" s="10">
        <f t="shared" ref="F17:F18" si="0">C17*E17</f>
        <v>119579.08163265305</v>
      </c>
      <c r="G17" s="10">
        <f t="shared" ref="G17:G18" si="1">D17*E17</f>
        <v>318877.55102040811</v>
      </c>
    </row>
    <row r="18" spans="2:7" x14ac:dyDescent="0.3">
      <c r="B18" s="3">
        <v>3</v>
      </c>
      <c r="C18" s="10">
        <f>C10</f>
        <v>200000</v>
      </c>
      <c r="D18" s="10">
        <f>E10</f>
        <v>197000</v>
      </c>
      <c r="E18" s="10">
        <f>1/POWER((1+E4),B18)</f>
        <v>0.71178024781341087</v>
      </c>
      <c r="F18" s="10">
        <f t="shared" si="0"/>
        <v>142356.04956268216</v>
      </c>
      <c r="G18" s="10">
        <f t="shared" si="1"/>
        <v>140220.70881924193</v>
      </c>
    </row>
    <row r="20" spans="2:7" x14ac:dyDescent="0.3">
      <c r="F20">
        <f>SUM(F16:F18)</f>
        <v>467292.27405247802</v>
      </c>
      <c r="G20">
        <f>SUM(G16:G18)</f>
        <v>722491.11698250717</v>
      </c>
    </row>
    <row r="22" spans="2:7" x14ac:dyDescent="0.3">
      <c r="C22" s="22" t="s">
        <v>15</v>
      </c>
      <c r="D22" s="22"/>
      <c r="E22" s="22"/>
      <c r="F22" s="10">
        <f>F20</f>
        <v>467292.27405247802</v>
      </c>
      <c r="G22" s="10">
        <f>G20</f>
        <v>722491.11698250717</v>
      </c>
    </row>
    <row r="23" spans="2:7" x14ac:dyDescent="0.3">
      <c r="B23" s="26" t="s">
        <v>16</v>
      </c>
      <c r="C23" s="23" t="s">
        <v>17</v>
      </c>
      <c r="D23" s="24"/>
      <c r="E23" s="25"/>
      <c r="F23" s="3">
        <f>C3</f>
        <v>500000</v>
      </c>
      <c r="G23" s="10">
        <f>E3</f>
        <v>700000</v>
      </c>
    </row>
    <row r="24" spans="2:7" x14ac:dyDescent="0.3">
      <c r="C24" s="23" t="s">
        <v>18</v>
      </c>
      <c r="D24" s="24"/>
      <c r="E24" s="25"/>
      <c r="F24" s="10">
        <f>F22-F23</f>
        <v>-32707.725947521976</v>
      </c>
      <c r="G24" s="10">
        <f>G22-G23</f>
        <v>22491.11698250717</v>
      </c>
    </row>
    <row r="25" spans="2:7" ht="15" thickBot="1" x14ac:dyDescent="0.35"/>
    <row r="26" spans="2:7" ht="21.6" thickBot="1" x14ac:dyDescent="0.45">
      <c r="B26" s="27" t="s">
        <v>19</v>
      </c>
      <c r="C26" s="28"/>
      <c r="D26" s="28"/>
      <c r="E26" s="29"/>
    </row>
  </sheetData>
  <mergeCells count="7">
    <mergeCell ref="B26:E26"/>
    <mergeCell ref="C14:D14"/>
    <mergeCell ref="F14:G14"/>
    <mergeCell ref="C24:E24"/>
    <mergeCell ref="B14:B15"/>
    <mergeCell ref="B8:B10"/>
    <mergeCell ref="C23:E2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2024-12-06T03:31:57Z</dcterms:created>
  <dcterms:modified xsi:type="dcterms:W3CDTF">2024-12-16T07:01:17Z</dcterms:modified>
</cp:coreProperties>
</file>