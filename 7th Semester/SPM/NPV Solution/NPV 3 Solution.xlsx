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pt\SPM\PPTs and Short notes\NPV Solution\"/>
    </mc:Choice>
  </mc:AlternateContent>
  <bookViews>
    <workbookView xWindow="0" yWindow="0" windowWidth="23040" windowHeight="9384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D23" i="1" l="1"/>
  <c r="D22" i="1"/>
  <c r="D21" i="1"/>
  <c r="G28" i="1" l="1"/>
  <c r="F28" i="1"/>
  <c r="E23" i="1"/>
  <c r="G23" i="1" s="1"/>
  <c r="E11" i="1"/>
  <c r="C11" i="1"/>
  <c r="C23" i="1"/>
  <c r="C22" i="1"/>
  <c r="C21" i="1"/>
  <c r="E21" i="1"/>
  <c r="E22" i="1"/>
  <c r="G22" i="1" s="1"/>
  <c r="F21" i="1" l="1"/>
  <c r="G21" i="1"/>
  <c r="G25" i="1" s="1"/>
  <c r="G27" i="1" s="1"/>
  <c r="G29" i="1" s="1"/>
  <c r="F23" i="1"/>
  <c r="F22" i="1"/>
  <c r="F25" i="1" l="1"/>
  <c r="F27" i="1" s="1"/>
  <c r="F29" i="1" s="1"/>
</calcChain>
</file>

<file path=xl/sharedStrings.xml><?xml version="1.0" encoding="utf-8"?>
<sst xmlns="http://schemas.openxmlformats.org/spreadsheetml/2006/main" count="26" uniqueCount="21">
  <si>
    <t>Discount rate</t>
  </si>
  <si>
    <t>Initial Investment</t>
  </si>
  <si>
    <t>Cash Inflow</t>
  </si>
  <si>
    <t>No.of Years</t>
  </si>
  <si>
    <r>
      <t>1/(1+r)</t>
    </r>
    <r>
      <rPr>
        <vertAlign val="superscript"/>
        <sz val="11"/>
        <color theme="1"/>
        <rFont val="Calibri"/>
        <family val="2"/>
        <scheme val="minor"/>
      </rPr>
      <t>n</t>
    </r>
  </si>
  <si>
    <t>Proposal A</t>
  </si>
  <si>
    <t>Proposal B</t>
  </si>
  <si>
    <t>A</t>
  </si>
  <si>
    <t>B</t>
  </si>
  <si>
    <t>Year</t>
  </si>
  <si>
    <t xml:space="preserve">Cash Flow </t>
  </si>
  <si>
    <t>Present Value</t>
  </si>
  <si>
    <t xml:space="preserve">PV Factor </t>
  </si>
  <si>
    <t>at 12 %</t>
  </si>
  <si>
    <t>Sum</t>
  </si>
  <si>
    <t xml:space="preserve">Total Present Value of Inflow </t>
  </si>
  <si>
    <t xml:space="preserve">Minus </t>
  </si>
  <si>
    <t xml:space="preserve">Present value of outflow </t>
  </si>
  <si>
    <t>NPV</t>
  </si>
  <si>
    <t>considering that the future incomes are discounted at 12 %.</t>
  </si>
  <si>
    <t xml:space="preserve">Suggest the most attractive  proposal on the basis of NPV  method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</si>
</sst>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NumberFormat="1"/>
    <xf numFmtId="0" fontId="0" fillId="0" borderId="2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3" fillId="5" borderId="2" xfId="0" applyFont="1" applyFill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0" fillId="3" borderId="0" xfId="0" applyNumberFormat="1" applyFill="1"/>
    <xf numFmtId="0" fontId="4" fillId="4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1" xfId="0" applyFont="1" applyBorder="1"/>
    <xf numFmtId="0" fontId="5" fillId="6" borderId="0" xfId="0" applyFont="1" applyFill="1" applyAlignment="1"/>
    <xf numFmtId="0" fontId="6" fillId="6" borderId="3" xfId="0" applyNumberFormat="1" applyFont="1" applyFill="1" applyBorder="1" applyAlignment="1">
      <alignment horizontal="center"/>
    </xf>
    <xf numFmtId="0" fontId="3" fillId="6" borderId="3" xfId="0" applyFont="1" applyFill="1" applyBorder="1"/>
    <xf numFmtId="0" fontId="0" fillId="6" borderId="0" xfId="0" applyFill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7" fillId="5" borderId="2" xfId="0" applyFont="1" applyFill="1" applyBorder="1" applyAlignment="1">
      <alignment horizontal="left"/>
    </xf>
    <xf numFmtId="0" fontId="7" fillId="5" borderId="2" xfId="0" applyFont="1" applyFill="1" applyBorder="1"/>
    <xf numFmtId="0" fontId="7" fillId="5" borderId="4" xfId="0" applyFont="1" applyFill="1" applyBorder="1" applyAlignment="1"/>
    <xf numFmtId="0" fontId="7" fillId="5" borderId="5" xfId="0" applyFont="1" applyFill="1" applyBorder="1" applyAlignment="1"/>
    <xf numFmtId="0" fontId="7" fillId="5" borderId="2" xfId="0" applyFont="1" applyFill="1" applyBorder="1" applyAlignment="1">
      <alignment horizontal="left"/>
    </xf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9"/>
  <sheetViews>
    <sheetView tabSelected="1" zoomScale="85" zoomScaleNormal="85" workbookViewId="0">
      <selection activeCell="M14" sqref="M14"/>
    </sheetView>
  </sheetViews>
  <sheetFormatPr defaultRowHeight="14.4" x14ac:dyDescent="0.3"/>
  <cols>
    <col min="2" max="2" width="23.44140625" bestFit="1" customWidth="1"/>
    <col min="3" max="3" width="15.88671875" customWidth="1"/>
    <col min="5" max="5" width="16.77734375" customWidth="1"/>
    <col min="6" max="6" width="12.109375" bestFit="1" customWidth="1"/>
    <col min="7" max="7" width="29.44140625" customWidth="1"/>
  </cols>
  <sheetData>
    <row r="1" spans="2:7" ht="15" thickBot="1" x14ac:dyDescent="0.35"/>
    <row r="2" spans="2:7" ht="21" x14ac:dyDescent="0.4">
      <c r="C2" s="15" t="s">
        <v>5</v>
      </c>
      <c r="E2" s="16" t="s">
        <v>6</v>
      </c>
    </row>
    <row r="3" spans="2:7" ht="21" x14ac:dyDescent="0.4">
      <c r="B3" s="5" t="s">
        <v>1</v>
      </c>
      <c r="C3" s="2">
        <v>700000</v>
      </c>
      <c r="E3" s="2">
        <v>1200000</v>
      </c>
    </row>
    <row r="4" spans="2:7" ht="21" x14ac:dyDescent="0.4">
      <c r="B4" s="5" t="s">
        <v>0</v>
      </c>
      <c r="C4" s="3">
        <v>0.12</v>
      </c>
      <c r="E4" s="2">
        <f>12/100</f>
        <v>0.12</v>
      </c>
    </row>
    <row r="5" spans="2:7" ht="21" x14ac:dyDescent="0.4">
      <c r="B5" s="5" t="s">
        <v>3</v>
      </c>
      <c r="C5" s="4">
        <v>3</v>
      </c>
    </row>
    <row r="6" spans="2:7" ht="21" x14ac:dyDescent="0.4">
      <c r="B6" s="5" t="s">
        <v>0</v>
      </c>
      <c r="C6" s="1" t="s">
        <v>4</v>
      </c>
    </row>
    <row r="7" spans="2:7" ht="15" thickBot="1" x14ac:dyDescent="0.35">
      <c r="C7" s="9" t="s">
        <v>5</v>
      </c>
      <c r="E7" s="17" t="s">
        <v>6</v>
      </c>
    </row>
    <row r="8" spans="2:7" x14ac:dyDescent="0.3">
      <c r="B8" s="20" t="s">
        <v>2</v>
      </c>
      <c r="C8" s="11">
        <v>220000</v>
      </c>
      <c r="E8" s="10">
        <v>550000</v>
      </c>
    </row>
    <row r="9" spans="2:7" x14ac:dyDescent="0.3">
      <c r="B9" s="21"/>
      <c r="C9" s="11">
        <v>320000</v>
      </c>
      <c r="E9" s="10">
        <v>550000</v>
      </c>
    </row>
    <row r="10" spans="2:7" ht="15" thickBot="1" x14ac:dyDescent="0.35">
      <c r="B10" s="22"/>
      <c r="C10" s="11">
        <v>190000</v>
      </c>
      <c r="E10" s="10">
        <v>400000</v>
      </c>
    </row>
    <row r="11" spans="2:7" ht="15" hidden="1" thickBot="1" x14ac:dyDescent="0.35">
      <c r="B11" s="13" t="s">
        <v>14</v>
      </c>
      <c r="C11" s="12">
        <f>SUM(C8:C10)</f>
        <v>730000</v>
      </c>
      <c r="E11" s="12">
        <f>SUM(E8:E10)</f>
        <v>1500000</v>
      </c>
    </row>
    <row r="14" spans="2:7" ht="23.4" x14ac:dyDescent="0.45">
      <c r="B14" s="14" t="s">
        <v>20</v>
      </c>
      <c r="C14" s="14"/>
      <c r="D14" s="14"/>
      <c r="E14" s="14"/>
      <c r="F14" s="14"/>
      <c r="G14" s="14"/>
    </row>
    <row r="15" spans="2:7" ht="23.4" x14ac:dyDescent="0.45">
      <c r="B15" s="14" t="s">
        <v>19</v>
      </c>
      <c r="C15" s="14"/>
      <c r="D15" s="14"/>
      <c r="E15" s="14"/>
      <c r="F15" s="14"/>
      <c r="G15" s="14"/>
    </row>
    <row r="19" spans="2:7" x14ac:dyDescent="0.3">
      <c r="B19" s="19" t="s">
        <v>9</v>
      </c>
      <c r="C19" s="18" t="s">
        <v>10</v>
      </c>
      <c r="D19" s="18"/>
      <c r="E19" s="6" t="s">
        <v>12</v>
      </c>
      <c r="F19" s="18" t="s">
        <v>11</v>
      </c>
      <c r="G19" s="18"/>
    </row>
    <row r="20" spans="2:7" x14ac:dyDescent="0.3">
      <c r="B20" s="19"/>
      <c r="C20" s="7" t="s">
        <v>7</v>
      </c>
      <c r="D20" s="7" t="s">
        <v>8</v>
      </c>
      <c r="E20" s="7" t="s">
        <v>13</v>
      </c>
      <c r="F20" s="7" t="s">
        <v>7</v>
      </c>
      <c r="G20" s="7" t="s">
        <v>8</v>
      </c>
    </row>
    <row r="21" spans="2:7" x14ac:dyDescent="0.3">
      <c r="B21" s="2">
        <v>1</v>
      </c>
      <c r="C21" s="8">
        <f>C8</f>
        <v>220000</v>
      </c>
      <c r="D21" s="8">
        <f>E8</f>
        <v>550000</v>
      </c>
      <c r="E21" s="8">
        <f>1/POWER((1+E4),B21)</f>
        <v>0.89285714285714279</v>
      </c>
      <c r="F21" s="8">
        <f>C21*E21</f>
        <v>196428.57142857142</v>
      </c>
      <c r="G21" s="8">
        <f>D21*E21</f>
        <v>491071.42857142852</v>
      </c>
    </row>
    <row r="22" spans="2:7" x14ac:dyDescent="0.3">
      <c r="B22" s="2">
        <v>2</v>
      </c>
      <c r="C22" s="8">
        <f>C9</f>
        <v>320000</v>
      </c>
      <c r="D22" s="8">
        <f>E9</f>
        <v>550000</v>
      </c>
      <c r="E22" s="8">
        <f>1/POWER((1+E4),B22)</f>
        <v>0.79719387755102034</v>
      </c>
      <c r="F22" s="8">
        <f t="shared" ref="F22:F23" si="0">C22*E22</f>
        <v>255102.04081632651</v>
      </c>
      <c r="G22" s="8">
        <f t="shared" ref="G22:G23" si="1">D22*E22</f>
        <v>438456.63265306118</v>
      </c>
    </row>
    <row r="23" spans="2:7" x14ac:dyDescent="0.3">
      <c r="B23" s="2">
        <v>3</v>
      </c>
      <c r="C23" s="8">
        <f>C10</f>
        <v>190000</v>
      </c>
      <c r="D23" s="8">
        <f>E10</f>
        <v>400000</v>
      </c>
      <c r="E23" s="8">
        <f>1/POWER((1+E4),B23)</f>
        <v>0.71178024781341087</v>
      </c>
      <c r="F23" s="8">
        <f t="shared" si="0"/>
        <v>135238.24708454806</v>
      </c>
      <c r="G23" s="8">
        <f t="shared" si="1"/>
        <v>284712.09912536433</v>
      </c>
    </row>
    <row r="25" spans="2:7" x14ac:dyDescent="0.3">
      <c r="F25">
        <f>SUM(F21:F23)</f>
        <v>586768.85932944599</v>
      </c>
      <c r="G25">
        <f>SUM(G21:G23)</f>
        <v>1214240.160349854</v>
      </c>
    </row>
    <row r="27" spans="2:7" ht="18" x14ac:dyDescent="0.35">
      <c r="C27" s="23" t="s">
        <v>15</v>
      </c>
      <c r="D27" s="23"/>
      <c r="E27" s="23"/>
      <c r="F27" s="8">
        <f>F25</f>
        <v>586768.85932944599</v>
      </c>
      <c r="G27" s="8">
        <f>G25</f>
        <v>1214240.160349854</v>
      </c>
    </row>
    <row r="28" spans="2:7" ht="18" x14ac:dyDescent="0.35">
      <c r="B28" s="28" t="s">
        <v>16</v>
      </c>
      <c r="C28" s="24" t="s">
        <v>17</v>
      </c>
      <c r="D28" s="25"/>
      <c r="E28" s="26"/>
      <c r="F28" s="2">
        <f>C3</f>
        <v>700000</v>
      </c>
      <c r="G28" s="8">
        <f>E3</f>
        <v>1200000</v>
      </c>
    </row>
    <row r="29" spans="2:7" ht="18" x14ac:dyDescent="0.35">
      <c r="C29" s="27" t="s">
        <v>18</v>
      </c>
      <c r="D29" s="27"/>
      <c r="E29" s="27"/>
      <c r="F29" s="8">
        <f>F27-F28</f>
        <v>-113231.14067055401</v>
      </c>
      <c r="G29" s="8">
        <f>G27-G28</f>
        <v>14240.160349854035</v>
      </c>
    </row>
  </sheetData>
  <mergeCells count="5">
    <mergeCell ref="C19:D19"/>
    <mergeCell ref="F19:G19"/>
    <mergeCell ref="C29:E29"/>
    <mergeCell ref="B19:B20"/>
    <mergeCell ref="B8:B10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2024-12-06T03:31:57Z</dcterms:created>
  <dcterms:modified xsi:type="dcterms:W3CDTF">2024-12-07T17:22:24Z</dcterms:modified>
</cp:coreProperties>
</file>