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Department\SPM\PPTs and Short notes\NPV Solution\"/>
    </mc:Choice>
  </mc:AlternateContent>
  <bookViews>
    <workbookView xWindow="0" yWindow="0" windowWidth="23040" windowHeight="9384"/>
  </bookViews>
  <sheets>
    <sheet name="Sheet1" sheetId="1" r:id="rId1"/>
    <sheet name="Sheet2" sheetId="2" r:id="rId2"/>
  </sheets>
  <calcPr calcId="152511" iterateDelta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4" i="1" l="1"/>
  <c r="D18" i="1" l="1"/>
  <c r="D17" i="1"/>
  <c r="D16" i="1"/>
  <c r="G23" i="1" l="1"/>
  <c r="F23" i="1"/>
  <c r="E11" i="1"/>
  <c r="C11" i="1"/>
  <c r="C18" i="1"/>
  <c r="C17" i="1"/>
  <c r="C16" i="1"/>
  <c r="E16" i="1"/>
  <c r="E18" i="1"/>
  <c r="G18" i="1" s="1"/>
  <c r="E17" i="1"/>
  <c r="G17" i="1" s="1"/>
  <c r="F16" i="1" l="1"/>
  <c r="G16" i="1"/>
  <c r="G20" i="1" s="1"/>
  <c r="G22" i="1" s="1"/>
  <c r="G24" i="1" s="1"/>
  <c r="F18" i="1"/>
  <c r="F17" i="1"/>
  <c r="F20" i="1" l="1"/>
  <c r="F22" i="1" s="1"/>
  <c r="F24" i="1" s="1"/>
</calcChain>
</file>

<file path=xl/sharedStrings.xml><?xml version="1.0" encoding="utf-8"?>
<sst xmlns="http://schemas.openxmlformats.org/spreadsheetml/2006/main" count="24" uniqueCount="19">
  <si>
    <t>Discount rate</t>
  </si>
  <si>
    <t>Initial Investment</t>
  </si>
  <si>
    <t>Cash Inflow</t>
  </si>
  <si>
    <t>No.of Years</t>
  </si>
  <si>
    <r>
      <t>1/(1+r)</t>
    </r>
    <r>
      <rPr>
        <vertAlign val="superscript"/>
        <sz val="11"/>
        <color theme="1"/>
        <rFont val="Calibri"/>
        <family val="2"/>
        <scheme val="minor"/>
      </rPr>
      <t>n</t>
    </r>
  </si>
  <si>
    <t>Proposal A</t>
  </si>
  <si>
    <t>Proposal B</t>
  </si>
  <si>
    <t>A</t>
  </si>
  <si>
    <t>B</t>
  </si>
  <si>
    <t>Year</t>
  </si>
  <si>
    <t xml:space="preserve">Cash Flow </t>
  </si>
  <si>
    <t>Present Value</t>
  </si>
  <si>
    <t xml:space="preserve">PV Factor </t>
  </si>
  <si>
    <t>at 12 %</t>
  </si>
  <si>
    <t>Sum</t>
  </si>
  <si>
    <t xml:space="preserve">Total Present Value of Inflow </t>
  </si>
  <si>
    <t xml:space="preserve">Minus </t>
  </si>
  <si>
    <t xml:space="preserve">Present value of outflow </t>
  </si>
  <si>
    <t>NPV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</si>
</sst>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charset val="1"/>
      <scheme val="minor"/>
    </font>
    <font>
      <vertAlign val="superscript"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8"/>
      <name val="Calibri"/>
      <family val="2"/>
      <scheme val="minor"/>
    </font>
    <font>
      <sz val="11"/>
      <color theme="8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F0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NumberFormat="1"/>
    <xf numFmtId="0" fontId="0" fillId="3" borderId="0" xfId="0" applyFill="1"/>
    <xf numFmtId="0" fontId="2" fillId="2" borderId="3" xfId="0" applyNumberFormat="1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9" fontId="0" fillId="0" borderId="2" xfId="0" applyNumberFormat="1" applyBorder="1" applyAlignment="1">
      <alignment horizontal="center"/>
    </xf>
    <xf numFmtId="0" fontId="0" fillId="0" borderId="2" xfId="0" applyNumberFormat="1" applyBorder="1" applyAlignment="1">
      <alignment horizontal="center"/>
    </xf>
    <xf numFmtId="0" fontId="2" fillId="2" borderId="3" xfId="0" applyFont="1" applyFill="1" applyBorder="1"/>
    <xf numFmtId="0" fontId="3" fillId="5" borderId="2" xfId="0" applyFont="1" applyFill="1" applyBorder="1"/>
    <xf numFmtId="0" fontId="0" fillId="0" borderId="2" xfId="0" applyBorder="1"/>
    <xf numFmtId="0" fontId="5" fillId="4" borderId="2" xfId="0" applyFont="1" applyFill="1" applyBorder="1" applyAlignment="1">
      <alignment horizontal="left"/>
    </xf>
    <xf numFmtId="0" fontId="5" fillId="4" borderId="2" xfId="0" applyFont="1" applyFill="1" applyBorder="1"/>
    <xf numFmtId="0" fontId="5" fillId="4" borderId="4" xfId="0" applyFont="1" applyFill="1" applyBorder="1" applyAlignment="1"/>
    <xf numFmtId="0" fontId="5" fillId="4" borderId="5" xfId="0" applyFont="1" applyFill="1" applyBorder="1" applyAlignment="1"/>
    <xf numFmtId="0" fontId="4" fillId="4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4" borderId="0" xfId="0" applyFont="1" applyFill="1" applyAlignment="1">
      <alignment horizontal="center"/>
    </xf>
    <xf numFmtId="0" fontId="2" fillId="0" borderId="1" xfId="0" applyFont="1" applyBorder="1"/>
    <xf numFmtId="0" fontId="7" fillId="3" borderId="0" xfId="0" applyNumberFormat="1" applyFont="1" applyFill="1"/>
    <xf numFmtId="0" fontId="2" fillId="6" borderId="2" xfId="0" applyFont="1" applyFill="1" applyBorder="1"/>
    <xf numFmtId="0" fontId="2" fillId="6" borderId="2" xfId="0" applyFont="1" applyFill="1" applyBorder="1" applyAlignment="1">
      <alignment horizontal="center"/>
    </xf>
    <xf numFmtId="0" fontId="2" fillId="6" borderId="2" xfId="0" applyFont="1" applyFill="1" applyBorder="1" applyAlignment="1">
      <alignment horizontal="center"/>
    </xf>
    <xf numFmtId="0" fontId="6" fillId="4" borderId="2" xfId="0" applyFont="1" applyFill="1" applyBorder="1" applyAlignment="1">
      <alignment horizontal="left"/>
    </xf>
    <xf numFmtId="0" fontId="2" fillId="6" borderId="2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24"/>
  <sheetViews>
    <sheetView tabSelected="1" workbookViewId="0">
      <selection activeCell="E5" sqref="E5"/>
    </sheetView>
  </sheetViews>
  <sheetFormatPr defaultRowHeight="14.4" x14ac:dyDescent="0.3"/>
  <cols>
    <col min="2" max="2" width="23.44140625" bestFit="1" customWidth="1"/>
    <col min="3" max="3" width="15.88671875" customWidth="1"/>
    <col min="5" max="5" width="16.77734375" customWidth="1"/>
    <col min="6" max="6" width="12.109375" bestFit="1" customWidth="1"/>
    <col min="7" max="7" width="12.88671875" customWidth="1"/>
  </cols>
  <sheetData>
    <row r="1" spans="2:7" ht="15" thickBot="1" x14ac:dyDescent="0.35"/>
    <row r="2" spans="2:7" x14ac:dyDescent="0.3">
      <c r="C2" s="3" t="s">
        <v>5</v>
      </c>
      <c r="E2" s="7" t="s">
        <v>6</v>
      </c>
    </row>
    <row r="3" spans="2:7" ht="21" x14ac:dyDescent="0.4">
      <c r="B3" s="8" t="s">
        <v>1</v>
      </c>
      <c r="C3" s="4">
        <v>300000</v>
      </c>
      <c r="E3" s="4">
        <v>400000</v>
      </c>
    </row>
    <row r="4" spans="2:7" ht="21" x14ac:dyDescent="0.4">
      <c r="B4" s="8" t="s">
        <v>0</v>
      </c>
      <c r="C4" s="5">
        <v>0.12</v>
      </c>
      <c r="E4" s="4">
        <f>12/100</f>
        <v>0.12</v>
      </c>
    </row>
    <row r="5" spans="2:7" ht="21" x14ac:dyDescent="0.4">
      <c r="B5" s="8" t="s">
        <v>3</v>
      </c>
      <c r="C5" s="6">
        <v>3</v>
      </c>
    </row>
    <row r="6" spans="2:7" ht="21" x14ac:dyDescent="0.4">
      <c r="B6" s="8" t="s">
        <v>0</v>
      </c>
      <c r="C6" s="1" t="s">
        <v>4</v>
      </c>
    </row>
    <row r="7" spans="2:7" ht="18.600000000000001" thickBot="1" x14ac:dyDescent="0.4">
      <c r="C7" s="18" t="s">
        <v>5</v>
      </c>
      <c r="E7" s="18" t="s">
        <v>6</v>
      </c>
    </row>
    <row r="8" spans="2:7" x14ac:dyDescent="0.3">
      <c r="B8" s="24" t="s">
        <v>2</v>
      </c>
      <c r="C8" s="15">
        <v>120000</v>
      </c>
      <c r="E8" s="14">
        <v>150000</v>
      </c>
    </row>
    <row r="9" spans="2:7" x14ac:dyDescent="0.3">
      <c r="B9" s="25"/>
      <c r="C9" s="15">
        <v>120000</v>
      </c>
      <c r="E9" s="14">
        <v>150000</v>
      </c>
    </row>
    <row r="10" spans="2:7" ht="15" thickBot="1" x14ac:dyDescent="0.35">
      <c r="B10" s="26"/>
      <c r="C10" s="15">
        <v>100000</v>
      </c>
      <c r="E10" s="14">
        <v>220000</v>
      </c>
    </row>
    <row r="11" spans="2:7" ht="15" thickBot="1" x14ac:dyDescent="0.35">
      <c r="B11" s="17" t="s">
        <v>14</v>
      </c>
      <c r="C11" s="16">
        <f>SUM(C8:C10)</f>
        <v>340000</v>
      </c>
      <c r="E11" s="16">
        <f>SUM(E8:E10)</f>
        <v>520000</v>
      </c>
    </row>
    <row r="14" spans="2:7" x14ac:dyDescent="0.3">
      <c r="B14" s="23" t="s">
        <v>9</v>
      </c>
      <c r="C14" s="21" t="s">
        <v>10</v>
      </c>
      <c r="D14" s="21"/>
      <c r="E14" s="19" t="s">
        <v>12</v>
      </c>
      <c r="F14" s="21" t="s">
        <v>11</v>
      </c>
      <c r="G14" s="21"/>
    </row>
    <row r="15" spans="2:7" x14ac:dyDescent="0.3">
      <c r="B15" s="23"/>
      <c r="C15" s="20" t="s">
        <v>7</v>
      </c>
      <c r="D15" s="20" t="s">
        <v>8</v>
      </c>
      <c r="E15" s="20" t="s">
        <v>13</v>
      </c>
      <c r="F15" s="20" t="s">
        <v>7</v>
      </c>
      <c r="G15" s="20" t="s">
        <v>8</v>
      </c>
    </row>
    <row r="16" spans="2:7" x14ac:dyDescent="0.3">
      <c r="B16" s="4">
        <v>1</v>
      </c>
      <c r="C16" s="4">
        <f>C8</f>
        <v>120000</v>
      </c>
      <c r="D16" s="4">
        <f>E8</f>
        <v>150000</v>
      </c>
      <c r="E16" s="4">
        <f>1/POWER((1+E4),B16)</f>
        <v>0.89285714285714279</v>
      </c>
      <c r="F16" s="9">
        <f>C16*E16</f>
        <v>107142.85714285713</v>
      </c>
      <c r="G16" s="9">
        <f>D16*E16</f>
        <v>133928.57142857142</v>
      </c>
    </row>
    <row r="17" spans="2:7" x14ac:dyDescent="0.3">
      <c r="B17" s="4">
        <v>2</v>
      </c>
      <c r="C17" s="4">
        <f>C9</f>
        <v>120000</v>
      </c>
      <c r="D17" s="4">
        <f>E9</f>
        <v>150000</v>
      </c>
      <c r="E17" s="4">
        <f>1/POWER((1+E4),B17)</f>
        <v>0.79719387755102034</v>
      </c>
      <c r="F17" s="9">
        <f t="shared" ref="F17:F18" si="0">C17*E17</f>
        <v>95663.265306122441</v>
      </c>
      <c r="G17" s="9">
        <f t="shared" ref="G17:G18" si="1">D17*E17</f>
        <v>119579.08163265305</v>
      </c>
    </row>
    <row r="18" spans="2:7" x14ac:dyDescent="0.3">
      <c r="B18" s="4">
        <v>3</v>
      </c>
      <c r="C18" s="4">
        <f>C10</f>
        <v>100000</v>
      </c>
      <c r="D18" s="4">
        <f>E10</f>
        <v>220000</v>
      </c>
      <c r="E18" s="4">
        <f>1/POWER((1+E4),B18)</f>
        <v>0.71178024781341087</v>
      </c>
      <c r="F18" s="9">
        <f t="shared" si="0"/>
        <v>71178.024781341082</v>
      </c>
      <c r="G18" s="9">
        <f t="shared" si="1"/>
        <v>156591.65451895038</v>
      </c>
    </row>
    <row r="20" spans="2:7" x14ac:dyDescent="0.3">
      <c r="F20">
        <f>SUM(F16:F18)</f>
        <v>273984.14723032067</v>
      </c>
      <c r="G20">
        <f>SUM(G16:G18)</f>
        <v>410099.30758017488</v>
      </c>
    </row>
    <row r="22" spans="2:7" x14ac:dyDescent="0.3">
      <c r="C22" s="10" t="s">
        <v>15</v>
      </c>
      <c r="D22" s="10"/>
      <c r="E22" s="10"/>
      <c r="F22" s="9">
        <f>F20</f>
        <v>273984.14723032067</v>
      </c>
      <c r="G22" s="9">
        <f>G20</f>
        <v>410099.30758017488</v>
      </c>
    </row>
    <row r="23" spans="2:7" x14ac:dyDescent="0.3">
      <c r="B23" s="2" t="s">
        <v>16</v>
      </c>
      <c r="C23" s="11" t="s">
        <v>17</v>
      </c>
      <c r="D23" s="12"/>
      <c r="E23" s="13"/>
      <c r="F23" s="4">
        <f>C3</f>
        <v>300000</v>
      </c>
      <c r="G23" s="9">
        <f>E3</f>
        <v>400000</v>
      </c>
    </row>
    <row r="24" spans="2:7" x14ac:dyDescent="0.3">
      <c r="C24" s="22" t="s">
        <v>18</v>
      </c>
      <c r="D24" s="22"/>
      <c r="E24" s="22"/>
      <c r="F24" s="9">
        <f>F22-F23</f>
        <v>-26015.852769679332</v>
      </c>
      <c r="G24" s="9">
        <f>G22-G23</f>
        <v>10099.307580174878</v>
      </c>
    </row>
  </sheetData>
  <mergeCells count="5">
    <mergeCell ref="C14:D14"/>
    <mergeCell ref="F14:G14"/>
    <mergeCell ref="C24:E24"/>
    <mergeCell ref="B14:B15"/>
    <mergeCell ref="B8:B10"/>
  </mergeCells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A2" sqref="A2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2024-12-06T03:31:57Z</dcterms:created>
  <dcterms:modified xsi:type="dcterms:W3CDTF">2025-10-28T15:32:00Z</dcterms:modified>
</cp:coreProperties>
</file>